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patel/Downloads/"/>
    </mc:Choice>
  </mc:AlternateContent>
  <xr:revisionPtr revIDLastSave="0" documentId="13_ncr:1_{EFD7714D-5FB8-D248-AF02-68ABF30334A4}" xr6:coauthVersionLast="47" xr6:coauthVersionMax="47" xr10:uidLastSave="{00000000-0000-0000-0000-000000000000}"/>
  <bookViews>
    <workbookView xWindow="0" yWindow="500" windowWidth="28800" windowHeight="15840" activeTab="3" xr2:uid="{00000000-000D-0000-FFFF-FFFF00000000}"/>
  </bookViews>
  <sheets>
    <sheet name="Module1" sheetId="1" state="veryHidden" r:id=""/>
    <sheet name="Blue Ridge Hot Tubs" sheetId="9" r:id="rId1"/>
    <sheet name="Ex1 Blending Problem" sheetId="2" r:id="rId2"/>
    <sheet name="Ex2 Transportation Problem" sheetId="3" r:id="rId3"/>
  </sheets>
  <definedNames>
    <definedName name="_Key1" hidden="1">#REF!</definedName>
    <definedName name="_Order1" hidden="1">255</definedName>
    <definedName name="_Regression_Int" localSheetId="1" hidden="1">1</definedName>
    <definedName name="_Regression_Int" localSheetId="2" hidden="1">1</definedName>
    <definedName name="_Regression_Int" localSheetId="3" hidden="1">1</definedName>
    <definedName name="DATA" localSheetId="1">'Blue Ridge Hot Tubs'!$D$3:$H$10</definedName>
    <definedName name="DATA">'Ex1 Blending Problem'!$H$3:$L$10</definedName>
    <definedName name="Print_Area_MI" localSheetId="1">'Blue Ridge Hot Tubs'!$A$3:$E$7</definedName>
    <definedName name="Print_Area_MI" localSheetId="2">'Ex1 Blending Problem'!$A$3:$I$7</definedName>
    <definedName name="solver_adj" localSheetId="1" hidden="1">'Blue Ridge Hot Tubs'!$B$5:$C$5</definedName>
    <definedName name="solver_adj" localSheetId="2" hidden="1">'Ex1 Blending Problem'!$B$6:$G$6</definedName>
    <definedName name="solver_adj" localSheetId="3" hidden="1">'Ex2 Transportation Problem'!$C$14:$E$15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2</definedName>
    <definedName name="solver_eng" localSheetId="2" hidden="1">2</definedName>
    <definedName name="solver_eng" localSheetId="3" hidden="1">2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bd" localSheetId="1" hidden="1">2</definedName>
    <definedName name="solver_ibd" localSheetId="2" hidden="1">2</definedName>
    <definedName name="solver_ibd" localSheetId="3" hidden="1">2</definedName>
    <definedName name="solver_itr" localSheetId="1" hidden="1">1000</definedName>
    <definedName name="solver_itr" localSheetId="2" hidden="1">1000</definedName>
    <definedName name="solver_itr" localSheetId="3" hidden="1">1000</definedName>
    <definedName name="solver_lhs1" localSheetId="1" hidden="1">'Blue Ridge Hot Tubs'!$D$10</definedName>
    <definedName name="solver_lhs1" localSheetId="2" hidden="1">'Ex1 Blending Problem'!$B$6:$G$6</definedName>
    <definedName name="solver_lhs1" localSheetId="3" hidden="1">'Ex2 Transportation Problem'!$C$16:$E$16</definedName>
    <definedName name="solver_lhs2" localSheetId="1" hidden="1">'Blue Ridge Hot Tubs'!$D$11</definedName>
    <definedName name="solver_lhs2" localSheetId="2" hidden="1">'Ex1 Blending Problem'!$H$10:$H$12</definedName>
    <definedName name="solver_lhs2" localSheetId="3" hidden="1">'Ex2 Transportation Problem'!$F$14:$F$15</definedName>
    <definedName name="solver_lhs3" localSheetId="1" hidden="1">'Blue Ridge Hot Tubs'!$D$12</definedName>
    <definedName name="solver_lhs3" localSheetId="2" hidden="1">'Ex1 Blending Problem'!$H$6</definedName>
    <definedName name="solver_lhs3" localSheetId="3" hidden="1">'Ex2 Transportation Problem'!$F$14:$F$15</definedName>
    <definedName name="solver_lin" localSheetId="1" hidden="1">1</definedName>
    <definedName name="solver_lin" localSheetId="2" hidden="1">1</definedName>
    <definedName name="solver_lin" localSheetId="3" hidden="1">1</definedName>
    <definedName name="solver_lva" localSheetId="1" hidden="1">2</definedName>
    <definedName name="solver_lva" localSheetId="2" hidden="1">2</definedName>
    <definedName name="solver_lva" localSheetId="3" hidden="1">2</definedName>
    <definedName name="solver_mip" localSheetId="1" hidden="1">1000</definedName>
    <definedName name="solver_mip" localSheetId="2" hidden="1">1000</definedName>
    <definedName name="solver_mip" localSheetId="3" hidden="1">1000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1" hidden="1">1000</definedName>
    <definedName name="solver_nod" localSheetId="2" hidden="1">1000</definedName>
    <definedName name="solver_nod" localSheetId="3" hidden="1">1000</definedName>
    <definedName name="solver_num" localSheetId="1" hidden="1">3</definedName>
    <definedName name="solver_num" localSheetId="2" hidden="1">2</definedName>
    <definedName name="solver_num" localSheetId="3" hidden="1">2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fx" localSheetId="1" hidden="1">2</definedName>
    <definedName name="solver_ofx" localSheetId="2" hidden="1">2</definedName>
    <definedName name="solver_ofx" localSheetId="3" hidden="1">2</definedName>
    <definedName name="solver_opt" localSheetId="1" hidden="1">'Blue Ridge Hot Tubs'!$D$6</definedName>
    <definedName name="solver_opt" localSheetId="2" hidden="1">'Ex1 Blending Problem'!$H$5</definedName>
    <definedName name="solver_opt" localSheetId="3" hidden="1">'Ex2 Transportation Problem'!$E$19</definedName>
    <definedName name="solver_piv" localSheetId="1" hidden="1">0.000001</definedName>
    <definedName name="solver_piv" localSheetId="2" hidden="1">0.000001</definedName>
    <definedName name="solver_piv" localSheetId="3" hidden="1">0.000001</definedName>
    <definedName name="solver_pre" localSheetId="1" hidden="1">0.00000001</definedName>
    <definedName name="solver_pre" localSheetId="2" hidden="1">0.00000001</definedName>
    <definedName name="solver_pre" localSheetId="3" hidden="1">0.00000001</definedName>
    <definedName name="solver_pro" localSheetId="1" hidden="1">2</definedName>
    <definedName name="solver_pro" localSheetId="2" hidden="1">2</definedName>
    <definedName name="solver_pro" localSheetId="3" hidden="1">2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d" localSheetId="1" hidden="1">0.000001</definedName>
    <definedName name="solver_red" localSheetId="2" hidden="1">0.000001</definedName>
    <definedName name="solver_red" localSheetId="3" hidden="1">0.000001</definedName>
    <definedName name="solver_rel1" localSheetId="1" hidden="1">1</definedName>
    <definedName name="solver_rel1" localSheetId="2" hidden="1">1</definedName>
    <definedName name="solver_rel1" localSheetId="3" hidden="1">1</definedName>
    <definedName name="solver_rel2" localSheetId="1" hidden="1">1</definedName>
    <definedName name="solver_rel2" localSheetId="2" hidden="1">3</definedName>
    <definedName name="solver_rel2" localSheetId="3" hidden="1">1</definedName>
    <definedName name="solver_rel3" localSheetId="1" hidden="1">1</definedName>
    <definedName name="solver_rel3" localSheetId="2" hidden="1">2</definedName>
    <definedName name="solver_rel3" localSheetId="3" hidden="1">3</definedName>
    <definedName name="solver_reo" localSheetId="1" hidden="1">2</definedName>
    <definedName name="solver_reo" localSheetId="2" hidden="1">2</definedName>
    <definedName name="solver_reo" localSheetId="3" hidden="1">2</definedName>
    <definedName name="solver_rep" localSheetId="1" hidden="1">2</definedName>
    <definedName name="solver_rep" localSheetId="2" hidden="1">2</definedName>
    <definedName name="solver_rep" localSheetId="3" hidden="1">2</definedName>
    <definedName name="solver_rhs1" localSheetId="1" hidden="1">'Blue Ridge Hot Tubs'!$E$10</definedName>
    <definedName name="solver_rhs1" localSheetId="2" hidden="1">'Ex1 Blending Problem'!$B$15:$G$15</definedName>
    <definedName name="solver_rhs1" localSheetId="3" hidden="1">'Ex2 Transportation Problem'!$C$17:$E$17</definedName>
    <definedName name="solver_rhs2" localSheetId="1" hidden="1">'Blue Ridge Hot Tubs'!$E$11</definedName>
    <definedName name="solver_rhs2" localSheetId="2" hidden="1">'Ex1 Blending Problem'!$I$10:$I$12</definedName>
    <definedName name="solver_rhs2" localSheetId="3" hidden="1">'Ex2 Transportation Problem'!$G$14:$G$15</definedName>
    <definedName name="solver_rhs3" localSheetId="1" hidden="1">'Blue Ridge Hot Tubs'!$E$12</definedName>
    <definedName name="solver_rhs3" localSheetId="2" hidden="1">'Ex1 Blending Problem'!$I$6</definedName>
    <definedName name="solver_rhs3" localSheetId="3" hidden="1">'Ex2 Transportation Problem'!$G$14:$G$15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2</definedName>
    <definedName name="solver_scl" localSheetId="2" hidden="1">2</definedName>
    <definedName name="solver_scl" localSheetId="3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td" localSheetId="1" hidden="1">0</definedName>
    <definedName name="solver_std" localSheetId="2" hidden="1">0</definedName>
    <definedName name="solver_std" localSheetId="3" hidden="1">0</definedName>
    <definedName name="solver_tim" localSheetId="1" hidden="1">100</definedName>
    <definedName name="solver_tim" localSheetId="2" hidden="1">100</definedName>
    <definedName name="solver_tim" localSheetId="3" hidden="1">100</definedName>
    <definedName name="solver_tol" localSheetId="1" hidden="1">0.05</definedName>
    <definedName name="solver_tol" localSheetId="2" hidden="1">0.05</definedName>
    <definedName name="solver_tol" localSheetId="3" hidden="1">0.05</definedName>
    <definedName name="solver_typ" localSheetId="1" hidden="1">1</definedName>
    <definedName name="solver_typ" localSheetId="2" hidden="1">2</definedName>
    <definedName name="solver_typ" localSheetId="3" hidden="1">1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2</definedName>
    <definedName name="solver_ver" localSheetId="2" hidden="1">2</definedName>
    <definedName name="solver_ver" localSheetId="3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3" l="1"/>
  <c r="D16" i="3"/>
  <c r="C16" i="3"/>
  <c r="F15" i="3"/>
  <c r="F14" i="3"/>
  <c r="H11" i="2"/>
  <c r="H12" i="2"/>
  <c r="H10" i="2"/>
  <c r="H5" i="2"/>
  <c r="D11" i="9"/>
  <c r="D12" i="9"/>
  <c r="D10" i="9"/>
  <c r="D6" i="9"/>
  <c r="E1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5" authorId="0" shapeId="0" xr:uid="{00000000-0006-0000-0100-000001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C5" authorId="0" shapeId="0" xr:uid="{00000000-0006-0000-0100-000002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D6" authorId="0" shapeId="0" xr:uid="{00000000-0006-0000-0100-000003000000}">
      <text>
        <r>
          <rPr>
            <sz val="8"/>
            <color rgb="FF000000"/>
            <rFont val="Tahoma"/>
            <family val="2"/>
          </rPr>
          <t>Set cell</t>
        </r>
      </text>
    </comment>
    <comment ref="D10" authorId="0" shapeId="0" xr:uid="{00000000-0006-0000-0100-000004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D11" authorId="0" shapeId="0" xr:uid="{00000000-0006-0000-0100-000005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D12" authorId="0" shapeId="0" xr:uid="{00000000-0006-0000-0100-000006000000}">
      <text>
        <r>
          <rPr>
            <sz val="8"/>
            <color rgb="FF000000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H5" authorId="0" shapeId="0" xr:uid="{00000000-0006-0000-0200-000001000000}">
      <text>
        <r>
          <rPr>
            <sz val="8"/>
            <color rgb="FF000000"/>
            <rFont val="Tahoma"/>
            <family val="2"/>
          </rPr>
          <t>Set cell</t>
        </r>
      </text>
    </comment>
    <comment ref="B6" authorId="0" shapeId="0" xr:uid="{00000000-0006-0000-0200-000002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C6" authorId="0" shapeId="0" xr:uid="{00000000-0006-0000-0200-000003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D6" authorId="0" shapeId="0" xr:uid="{00000000-0006-0000-0200-00000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6" authorId="0" shapeId="0" xr:uid="{00000000-0006-0000-02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6" authorId="0" shapeId="0" xr:uid="{00000000-0006-0000-0200-00000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6" authorId="0" shapeId="0" xr:uid="{00000000-0006-0000-0200-000007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H10" authorId="0" shapeId="0" xr:uid="{00000000-0006-0000-0200-000008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H11" authorId="0" shapeId="0" xr:uid="{00000000-0006-0000-0200-000009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H12" authorId="0" shapeId="0" xr:uid="{00000000-0006-0000-0200-00000A000000}">
      <text>
        <r>
          <rPr>
            <sz val="8"/>
            <color rgb="FF000000"/>
            <rFont val="Tahoma"/>
            <family val="2"/>
          </rPr>
          <t>Constraint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C14" authorId="0" shapeId="0" xr:uid="{00000000-0006-0000-0300-000001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D14" authorId="0" shapeId="0" xr:uid="{00000000-0006-0000-03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 xr:uid="{00000000-0006-0000-0300-000003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F14" authorId="0" shapeId="0" xr:uid="{00000000-0006-0000-0300-000004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C15" authorId="0" shapeId="0" xr:uid="{00000000-0006-0000-0300-000005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D15" authorId="0" shapeId="0" xr:uid="{00000000-0006-0000-0300-00000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 xr:uid="{00000000-0006-0000-0300-000007000000}">
      <text>
        <r>
          <rPr>
            <sz val="8"/>
            <color rgb="FF000000"/>
            <rFont val="Tahoma"/>
            <family val="2"/>
          </rPr>
          <t>Variable cell</t>
        </r>
      </text>
    </comment>
    <comment ref="F15" authorId="0" shapeId="0" xr:uid="{00000000-0006-0000-0300-000008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C16" authorId="0" shapeId="0" xr:uid="{00000000-0006-0000-0300-000009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D16" authorId="0" shapeId="0" xr:uid="{00000000-0006-0000-0300-00000A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E16" authorId="0" shapeId="0" xr:uid="{00000000-0006-0000-0300-00000B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E19" authorId="0" shapeId="0" xr:uid="{00000000-0006-0000-0300-00000C000000}">
      <text>
        <r>
          <rPr>
            <sz val="8"/>
            <color rgb="FF000000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<sst xmlns="http://schemas.openxmlformats.org/spreadsheetml/2006/main" count="53" uniqueCount="36">
  <si>
    <t>Total</t>
  </si>
  <si>
    <t>in Blend</t>
  </si>
  <si>
    <t>Req'd Amnt</t>
  </si>
  <si>
    <t>Oatmeal</t>
  </si>
  <si>
    <t>Chicken</t>
  </si>
  <si>
    <t>Eggs</t>
  </si>
  <si>
    <t>Cherry Pie</t>
  </si>
  <si>
    <t>Whole Milk</t>
  </si>
  <si>
    <t>Pork&amp;Beans</t>
  </si>
  <si>
    <t>Price/svg</t>
  </si>
  <si>
    <t xml:space="preserve">Svgs/day </t>
  </si>
  <si>
    <t>Requirements</t>
  </si>
  <si>
    <t>Energy</t>
  </si>
  <si>
    <t>Protein</t>
  </si>
  <si>
    <t xml:space="preserve">Calcium </t>
  </si>
  <si>
    <t xml:space="preserve">Svg Limits/day </t>
  </si>
  <si>
    <t>Unit Cost From</t>
  </si>
  <si>
    <t>Plant to Warehouse</t>
  </si>
  <si>
    <t>Plant</t>
  </si>
  <si>
    <t>Revenue/Unit</t>
  </si>
  <si>
    <t>Units Shipped From</t>
  </si>
  <si>
    <t>Units</t>
  </si>
  <si>
    <t>Shipped</t>
  </si>
  <si>
    <t>Available</t>
  </si>
  <si>
    <t>Received</t>
  </si>
  <si>
    <t>Sales Potential</t>
  </si>
  <si>
    <t>Total Profit</t>
  </si>
  <si>
    <t>Aqua-Spas</t>
  </si>
  <si>
    <t>Hydro-Luxes</t>
  </si>
  <si>
    <t>Number to Make</t>
  </si>
  <si>
    <t>Unit Profits</t>
  </si>
  <si>
    <t>Pumps Req'd</t>
  </si>
  <si>
    <t>Labor Req'd</t>
  </si>
  <si>
    <t>Tubing Req'd</t>
  </si>
  <si>
    <t>Used</t>
  </si>
  <si>
    <t>Constraints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</si>
</sst>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164" formatCode="General_)"/>
    <numFmt numFmtId="165" formatCode="0.00_)"/>
    <numFmt numFmtId="166" formatCode="0.0%"/>
    <numFmt numFmtId="167" formatCode="0.0_)"/>
  </numFmts>
  <fonts count="14" x14ac:knownFonts="1">
    <font>
      <sz val="10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sz val="10"/>
      <name val="Arial"/>
      <family val="2"/>
    </font>
    <font>
      <b/>
      <sz val="10"/>
      <name val="Arial"/>
      <family val="2"/>
    </font>
    <font>
      <b/>
      <sz val="8"/>
      <color indexed="8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10"/>
      <color indexed="12"/>
      <name val="Arial"/>
      <family val="2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2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164" fontId="0" fillId="0" borderId="0"/>
  </cellStyleXfs>
  <cellXfs count="59">
    <xf numFmtId="164" fontId="0" fillId="0" borderId="0" xfId="0"/>
    <xf numFmtId="164" fontId="2" fillId="0" borderId="0" xfId="0" applyNumberFormat="1" applyFont="1" applyProtection="1">
      <protection locked="0"/>
    </xf>
    <xf numFmtId="164" fontId="0" fillId="0" borderId="0" xfId="0" applyNumberFormat="1" applyProtection="1"/>
    <xf numFmtId="164" fontId="3" fillId="0" borderId="0" xfId="0" applyFont="1" applyBorder="1"/>
    <xf numFmtId="164" fontId="3" fillId="0" borderId="0" xfId="0" applyFont="1" applyBorder="1" applyAlignment="1">
      <alignment horizontal="centerContinuous"/>
    </xf>
    <xf numFmtId="164" fontId="4" fillId="0" borderId="0" xfId="0" applyFont="1" applyBorder="1" applyAlignment="1" applyProtection="1">
      <alignment horizontal="left"/>
    </xf>
    <xf numFmtId="164" fontId="4" fillId="0" borderId="0" xfId="0" applyFont="1" applyBorder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166" fontId="3" fillId="0" borderId="0" xfId="0" applyNumberFormat="1" applyFont="1" applyFill="1" applyBorder="1" applyAlignment="1" applyProtection="1">
      <alignment horizontal="center"/>
    </xf>
    <xf numFmtId="37" fontId="1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Border="1" applyAlignment="1" applyProtection="1">
      <alignment horizontal="center"/>
    </xf>
    <xf numFmtId="10" fontId="1" fillId="0" borderId="0" xfId="0" applyNumberFormat="1" applyFont="1" applyFill="1" applyBorder="1" applyAlignment="1" applyProtection="1">
      <alignment horizontal="center"/>
    </xf>
    <xf numFmtId="10" fontId="3" fillId="0" borderId="0" xfId="0" applyNumberFormat="1" applyFont="1" applyFill="1" applyBorder="1" applyAlignment="1" applyProtection="1">
      <alignment horizontal="center"/>
    </xf>
    <xf numFmtId="164" fontId="4" fillId="0" borderId="0" xfId="0" applyFont="1" applyBorder="1" applyAlignment="1">
      <alignment horizontal="left"/>
    </xf>
    <xf numFmtId="164" fontId="5" fillId="0" borderId="0" xfId="0" applyFont="1"/>
    <xf numFmtId="167" fontId="7" fillId="2" borderId="1" xfId="0" applyNumberFormat="1" applyFont="1" applyFill="1" applyBorder="1" applyAlignment="1" applyProtection="1">
      <alignment horizontal="center"/>
    </xf>
    <xf numFmtId="164" fontId="11" fillId="0" borderId="0" xfId="0" applyFont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center"/>
    </xf>
    <xf numFmtId="164" fontId="4" fillId="0" borderId="0" xfId="0" applyFont="1"/>
    <xf numFmtId="0" fontId="8" fillId="2" borderId="2" xfId="0" applyNumberFormat="1" applyFont="1" applyFill="1" applyBorder="1" applyAlignment="1" applyProtection="1">
      <alignment horizontal="center"/>
    </xf>
    <xf numFmtId="7" fontId="1" fillId="0" borderId="0" xfId="0" applyNumberFormat="1" applyFont="1" applyBorder="1" applyAlignment="1" applyProtection="1">
      <alignment horizontal="center"/>
    </xf>
    <xf numFmtId="7" fontId="9" fillId="2" borderId="3" xfId="0" applyNumberFormat="1" applyFont="1" applyFill="1" applyBorder="1" applyAlignment="1" applyProtection="1">
      <alignment horizontal="center"/>
    </xf>
    <xf numFmtId="164" fontId="3" fillId="0" borderId="0" xfId="0" applyFont="1"/>
    <xf numFmtId="164" fontId="4" fillId="0" borderId="0" xfId="0" applyFont="1" applyAlignment="1">
      <alignment horizontal="centerContinuous"/>
    </xf>
    <xf numFmtId="164" fontId="4" fillId="0" borderId="0" xfId="0" applyFont="1" applyAlignment="1" applyProtection="1">
      <alignment horizontal="centerContinuous"/>
    </xf>
    <xf numFmtId="164" fontId="3" fillId="0" borderId="0" xfId="0" applyFont="1" applyAlignment="1">
      <alignment horizontal="centerContinuous"/>
    </xf>
    <xf numFmtId="164" fontId="3" fillId="0" borderId="0" xfId="0" applyFont="1" applyAlignment="1" applyProtection="1">
      <alignment horizontal="left"/>
    </xf>
    <xf numFmtId="164" fontId="4" fillId="0" borderId="0" xfId="0" applyFont="1" applyAlignment="1" applyProtection="1">
      <alignment horizontal="left"/>
    </xf>
    <xf numFmtId="164" fontId="4" fillId="0" borderId="0" xfId="0" applyFont="1" applyAlignment="1" applyProtection="1">
      <alignment horizontal="center"/>
    </xf>
    <xf numFmtId="164" fontId="4" fillId="0" borderId="4" xfId="0" applyFont="1" applyBorder="1" applyAlignment="1" applyProtection="1">
      <alignment horizontal="right"/>
    </xf>
    <xf numFmtId="164" fontId="1" fillId="0" borderId="5" xfId="0" applyFont="1" applyBorder="1" applyAlignment="1" applyProtection="1">
      <alignment horizontal="center"/>
    </xf>
    <xf numFmtId="164" fontId="1" fillId="0" borderId="6" xfId="0" applyFont="1" applyBorder="1" applyAlignment="1" applyProtection="1">
      <alignment horizontal="center"/>
    </xf>
    <xf numFmtId="164" fontId="1" fillId="0" borderId="7" xfId="0" applyFont="1" applyBorder="1" applyAlignment="1" applyProtection="1">
      <alignment horizontal="center"/>
    </xf>
    <xf numFmtId="164" fontId="4" fillId="0" borderId="8" xfId="0" applyFont="1" applyBorder="1" applyAlignment="1" applyProtection="1">
      <alignment horizontal="right"/>
    </xf>
    <xf numFmtId="164" fontId="1" fillId="0" borderId="9" xfId="0" applyFont="1" applyBorder="1" applyAlignment="1" applyProtection="1">
      <alignment horizontal="center"/>
    </xf>
    <xf numFmtId="164" fontId="1" fillId="0" borderId="10" xfId="0" applyFont="1" applyBorder="1" applyAlignment="1" applyProtection="1">
      <alignment horizontal="center"/>
    </xf>
    <xf numFmtId="164" fontId="1" fillId="0" borderId="11" xfId="0" applyFont="1" applyBorder="1" applyAlignment="1" applyProtection="1">
      <alignment horizontal="center"/>
    </xf>
    <xf numFmtId="164" fontId="4" fillId="0" borderId="0" xfId="0" applyFont="1" applyBorder="1" applyAlignment="1" applyProtection="1">
      <alignment horizontal="right"/>
    </xf>
    <xf numFmtId="164" fontId="1" fillId="0" borderId="0" xfId="0" applyFont="1" applyBorder="1" applyAlignment="1" applyProtection="1">
      <alignment horizontal="center"/>
    </xf>
    <xf numFmtId="164" fontId="12" fillId="0" borderId="0" xfId="0" applyNumberFormat="1" applyFont="1" applyProtection="1">
      <protection locked="0"/>
    </xf>
    <xf numFmtId="164" fontId="1" fillId="0" borderId="0" xfId="0" applyFont="1" applyAlignment="1" applyProtection="1">
      <alignment horizontal="center"/>
    </xf>
    <xf numFmtId="164" fontId="3" fillId="0" borderId="0" xfId="0" applyNumberFormat="1" applyFont="1" applyProtection="1"/>
    <xf numFmtId="37" fontId="7" fillId="2" borderId="12" xfId="0" applyNumberFormat="1" applyFont="1" applyFill="1" applyBorder="1" applyAlignment="1" applyProtection="1">
      <alignment horizontal="center"/>
    </xf>
    <xf numFmtId="37" fontId="7" fillId="2" borderId="13" xfId="0" applyNumberFormat="1" applyFont="1" applyFill="1" applyBorder="1" applyAlignment="1" applyProtection="1">
      <alignment horizontal="center"/>
    </xf>
    <xf numFmtId="37" fontId="7" fillId="2" borderId="14" xfId="0" applyNumberFormat="1" applyFont="1" applyFill="1" applyBorder="1" applyAlignment="1" applyProtection="1">
      <alignment horizontal="center"/>
    </xf>
    <xf numFmtId="37" fontId="8" fillId="2" borderId="15" xfId="0" applyNumberFormat="1" applyFont="1" applyFill="1" applyBorder="1" applyAlignment="1" applyProtection="1">
      <alignment horizontal="center"/>
    </xf>
    <xf numFmtId="37" fontId="1" fillId="0" borderId="4" xfId="0" applyNumberFormat="1" applyFont="1" applyBorder="1" applyAlignment="1" applyProtection="1">
      <alignment horizontal="center"/>
    </xf>
    <xf numFmtId="37" fontId="7" fillId="2" borderId="16" xfId="0" applyNumberFormat="1" applyFont="1" applyFill="1" applyBorder="1" applyAlignment="1" applyProtection="1">
      <alignment horizontal="center"/>
    </xf>
    <xf numFmtId="37" fontId="7" fillId="2" borderId="17" xfId="0" applyNumberFormat="1" applyFont="1" applyFill="1" applyBorder="1" applyAlignment="1" applyProtection="1">
      <alignment horizontal="center"/>
    </xf>
    <xf numFmtId="37" fontId="7" fillId="2" borderId="18" xfId="0" applyNumberFormat="1" applyFont="1" applyFill="1" applyBorder="1" applyAlignment="1" applyProtection="1">
      <alignment horizontal="center"/>
    </xf>
    <xf numFmtId="37" fontId="1" fillId="0" borderId="8" xfId="0" applyNumberFormat="1" applyFont="1" applyBorder="1" applyAlignment="1" applyProtection="1">
      <alignment horizontal="center"/>
    </xf>
    <xf numFmtId="164" fontId="4" fillId="0" borderId="19" xfId="0" applyFont="1" applyBorder="1" applyAlignment="1" applyProtection="1">
      <alignment horizontal="left"/>
    </xf>
    <xf numFmtId="37" fontId="8" fillId="2" borderId="20" xfId="0" applyNumberFormat="1" applyFont="1" applyFill="1" applyBorder="1" applyAlignment="1" applyProtection="1">
      <alignment horizontal="center"/>
    </xf>
    <xf numFmtId="37" fontId="1" fillId="0" borderId="21" xfId="0" applyNumberFormat="1" applyFont="1" applyBorder="1" applyAlignment="1" applyProtection="1">
      <alignment horizontal="center"/>
    </xf>
    <xf numFmtId="37" fontId="1" fillId="0" borderId="22" xfId="0" applyNumberFormat="1" applyFont="1" applyBorder="1" applyAlignment="1" applyProtection="1">
      <alignment horizontal="center"/>
    </xf>
    <xf numFmtId="37" fontId="1" fillId="0" borderId="23" xfId="0" applyNumberFormat="1" applyFont="1" applyBorder="1" applyAlignment="1" applyProtection="1">
      <alignment horizontal="center"/>
    </xf>
    <xf numFmtId="37" fontId="3" fillId="0" borderId="0" xfId="0" applyNumberFormat="1" applyFont="1" applyProtection="1"/>
    <xf numFmtId="37" fontId="9" fillId="2" borderId="3" xfId="0" applyNumberFormat="1" applyFont="1" applyFill="1" applyBorder="1" applyAlignment="1">
      <alignment horizontal="center"/>
    </xf>
    <xf numFmtId="0" fontId="4" fillId="0" borderId="0" xfId="0" applyNumberFormat="1" applyFont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971550</xdr:colOff>
      <xdr:row>0</xdr:row>
      <xdr:rowOff>66675</xdr:rowOff>
    </xdr:from>
    <xdr:to>
      <xdr:col>3</xdr:col>
      <xdr:colOff>209550</xdr:colOff>
      <xdr:row>2</xdr:row>
      <xdr:rowOff>95250</xdr:rowOff>
    </xdr:to>
    <xdr:sp macro="" textlink="">
      <xdr:nvSpPr>
        <xdr:cNvPr id="8193" name="Text 1">
          <a:extLst>
            <a:ext uri="{FF2B5EF4-FFF2-40B4-BE49-F238E27FC236}">
              <a16:creationId xmlns:a16="http://schemas.microsoft.com/office/drawing/2014/main" id="{00000000-0008-0000-0100-000001200000}"/>
            </a:ext>
          </a:extLst>
        </xdr:cNvPr>
        <xdr:cNvSpPr>
          <a:spLocks noChangeArrowheads="1"/>
        </xdr:cNvSpPr>
      </xdr:nvSpPr>
      <xdr:spPr bwMode="auto">
        <a:xfrm>
          <a:off x="971550" y="66675"/>
          <a:ext cx="1914525" cy="3524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0</xdr:row>
      <xdr:rowOff>47625</xdr:rowOff>
    </xdr:from>
    <xdr:to>
      <xdr:col>6</xdr:col>
      <xdr:colOff>485775</xdr:colOff>
      <xdr:row>2</xdr:row>
      <xdr:rowOff>76200</xdr:rowOff>
    </xdr:to>
    <xdr:sp macro="[0]!Toggle" textlink="">
      <xdr:nvSpPr>
        <xdr:cNvPr id="1025" name="Text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>
          <a:spLocks noChangeArrowheads="1"/>
        </xdr:cNvSpPr>
      </xdr:nvSpPr>
      <xdr:spPr bwMode="auto">
        <a:xfrm>
          <a:off x="1409700" y="47625"/>
          <a:ext cx="3619500" cy="3524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Example 1: Blending Problem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</xdr:row>
      <xdr:rowOff>19050</xdr:rowOff>
    </xdr:from>
    <xdr:to>
      <xdr:col>8</xdr:col>
      <xdr:colOff>381000</xdr:colOff>
      <xdr:row>6</xdr:row>
      <xdr:rowOff>95250</xdr:rowOff>
    </xdr:to>
    <xdr:sp macro="" textlink="">
      <xdr:nvSpPr>
        <xdr:cNvPr id="2049" name="Note" hidden="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 txBox="1">
          <a:spLocks noChangeArrowheads="1"/>
        </xdr:cNvSpPr>
      </xdr:nvSpPr>
      <xdr:spPr bwMode="auto">
        <a:xfrm>
          <a:off x="3657600" y="180975"/>
          <a:ext cx="2143125" cy="8953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Minimize:    E20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C14:E16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F14:F16=G14:G16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C17:E17&lt;=C18:E18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C14:E16&gt;=0</a:t>
          </a:r>
        </a:p>
      </xdr:txBody>
    </xdr:sp>
    <xdr:clientData/>
  </xdr:twoCellAnchor>
  <xdr:twoCellAnchor>
    <xdr:from>
      <xdr:col>2</xdr:col>
      <xdr:colOff>0</xdr:colOff>
      <xdr:row>0</xdr:row>
      <xdr:rowOff>104775</xdr:rowOff>
    </xdr:from>
    <xdr:to>
      <xdr:col>5</xdr:col>
      <xdr:colOff>381000</xdr:colOff>
      <xdr:row>2</xdr:row>
      <xdr:rowOff>47625</xdr:rowOff>
    </xdr:to>
    <xdr:sp macro="" textlink="">
      <xdr:nvSpPr>
        <xdr:cNvPr id="2050" name="Text 2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rrowheads="1"/>
        </xdr:cNvSpPr>
      </xdr:nvSpPr>
      <xdr:spPr bwMode="auto">
        <a:xfrm>
          <a:off x="1295400" y="104775"/>
          <a:ext cx="2638425" cy="266700"/>
        </a:xfrm>
        <a:prstGeom prst="roundRect">
          <a:avLst>
            <a:gd name="adj" fmla="val 16667"/>
          </a:avLst>
        </a:prstGeom>
        <a:solidFill>
          <a:srgbClr val="69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Example 2: Transportation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syncVertical="1" syncRef="A1" transitionEvaluation="1" codeName="Sheet7"/>
  <dimension ref="A2:M28"/>
  <sheetViews>
    <sheetView zoomScale="120" workbookViewId="0">
      <selection activeCell="E10" sqref="E10"/>
    </sheetView>
  </sheetViews>
  <sheetFormatPr baseColWidth="10" defaultColWidth="9.6640625" defaultRowHeight="13" x14ac:dyDescent="0.15"/>
  <cols>
    <col min="1" max="1" width="16.83203125" customWidth="1"/>
    <col min="2" max="2" width="11.5" customWidth="1"/>
    <col min="3" max="3" width="11.83203125" customWidth="1"/>
    <col min="4" max="4" width="13.5" customWidth="1"/>
    <col min="5" max="5" width="11.6640625" bestFit="1" customWidth="1"/>
  </cols>
  <sheetData>
    <row r="2" spans="1:13" x14ac:dyDescent="0.15">
      <c r="A2" s="3"/>
      <c r="B2" s="13"/>
      <c r="C2" s="13"/>
      <c r="D2" s="3"/>
      <c r="E2" s="3"/>
    </row>
    <row r="3" spans="1:13" x14ac:dyDescent="0.15">
      <c r="G3" s="2"/>
      <c r="H3" s="2"/>
    </row>
    <row r="4" spans="1:13" x14ac:dyDescent="0.15">
      <c r="A4" s="5"/>
      <c r="B4" s="16" t="s">
        <v>27</v>
      </c>
      <c r="C4" s="16" t="s">
        <v>28</v>
      </c>
      <c r="D4" s="10" t="s">
        <v>0</v>
      </c>
      <c r="G4" s="2"/>
      <c r="H4" s="2"/>
    </row>
    <row r="5" spans="1:13" ht="14" thickBot="1" x14ac:dyDescent="0.2">
      <c r="A5" s="5" t="s">
        <v>29</v>
      </c>
      <c r="B5" s="15">
        <v>122.00000000000001</v>
      </c>
      <c r="C5" s="15">
        <v>77.999999999999986</v>
      </c>
      <c r="E5" s="11"/>
      <c r="G5" s="2"/>
      <c r="H5" s="2"/>
    </row>
    <row r="6" spans="1:13" ht="15" thickTop="1" thickBot="1" x14ac:dyDescent="0.2">
      <c r="A6" s="5" t="s">
        <v>30</v>
      </c>
      <c r="B6" s="20">
        <v>350</v>
      </c>
      <c r="C6" s="20">
        <v>300</v>
      </c>
      <c r="D6" s="21">
        <f>(B6*B5)+(C6*C5)</f>
        <v>66100</v>
      </c>
      <c r="E6" s="9"/>
      <c r="F6" s="20"/>
      <c r="G6" s="20"/>
      <c r="H6" s="1"/>
      <c r="I6" s="1"/>
      <c r="J6" s="1"/>
      <c r="K6" s="1"/>
      <c r="L6" s="1"/>
      <c r="M6" s="1"/>
    </row>
    <row r="7" spans="1:13" ht="14" thickTop="1" x14ac:dyDescent="0.15">
      <c r="A7" s="14"/>
      <c r="B7" s="20"/>
      <c r="C7" s="20"/>
      <c r="D7" s="3"/>
      <c r="E7" s="3"/>
      <c r="G7" s="2"/>
      <c r="H7" s="2"/>
    </row>
    <row r="8" spans="1:13" x14ac:dyDescent="0.15">
      <c r="A8" s="14"/>
      <c r="B8" s="3"/>
      <c r="C8" s="3"/>
      <c r="D8" s="3"/>
      <c r="E8" s="3"/>
      <c r="G8" s="2"/>
      <c r="H8" s="2"/>
    </row>
    <row r="9" spans="1:13" x14ac:dyDescent="0.15">
      <c r="A9" s="5" t="s">
        <v>35</v>
      </c>
      <c r="B9" s="16"/>
      <c r="C9" s="16"/>
      <c r="D9" s="6" t="s">
        <v>34</v>
      </c>
      <c r="E9" s="6" t="s">
        <v>23</v>
      </c>
      <c r="G9" s="2"/>
      <c r="H9" s="2"/>
    </row>
    <row r="10" spans="1:13" x14ac:dyDescent="0.15">
      <c r="A10" s="5" t="s">
        <v>31</v>
      </c>
      <c r="B10" s="58">
        <v>1</v>
      </c>
      <c r="C10" s="58">
        <v>1</v>
      </c>
      <c r="D10" s="19">
        <f>(B10*$B$5)+(C10*$C$5)</f>
        <v>200</v>
      </c>
      <c r="E10" s="17">
        <v>200</v>
      </c>
      <c r="G10" s="2"/>
      <c r="H10" s="2"/>
    </row>
    <row r="11" spans="1:13" x14ac:dyDescent="0.15">
      <c r="A11" s="5" t="s">
        <v>32</v>
      </c>
      <c r="B11" s="58">
        <v>9</v>
      </c>
      <c r="C11" s="58">
        <v>6</v>
      </c>
      <c r="D11" s="19">
        <f t="shared" ref="D11:D12" si="0">(B11*$B$5)+(C11*$C$5)</f>
        <v>1566</v>
      </c>
      <c r="E11" s="17">
        <v>1566</v>
      </c>
    </row>
    <row r="12" spans="1:13" x14ac:dyDescent="0.15">
      <c r="A12" s="5" t="s">
        <v>33</v>
      </c>
      <c r="B12" s="58">
        <v>12</v>
      </c>
      <c r="C12" s="58">
        <v>16</v>
      </c>
      <c r="D12" s="19">
        <f t="shared" si="0"/>
        <v>2712</v>
      </c>
      <c r="E12" s="17">
        <v>2880</v>
      </c>
    </row>
    <row r="13" spans="1:13" x14ac:dyDescent="0.15">
      <c r="A13" s="5"/>
      <c r="B13" s="7"/>
      <c r="C13" s="7"/>
      <c r="D13" s="8"/>
      <c r="E13" s="12"/>
    </row>
    <row r="14" spans="1:13" x14ac:dyDescent="0.15">
      <c r="A14" s="5"/>
      <c r="B14" s="16"/>
      <c r="C14" s="16"/>
    </row>
    <row r="15" spans="1:13" x14ac:dyDescent="0.15">
      <c r="B15" s="7"/>
      <c r="C15" s="7"/>
    </row>
    <row r="18" spans="2:9" x14ac:dyDescent="0.15">
      <c r="F18" s="1"/>
      <c r="G18" s="1"/>
      <c r="H18" s="1"/>
      <c r="I18" s="1"/>
    </row>
    <row r="19" spans="2:9" x14ac:dyDescent="0.15">
      <c r="B19" s="2"/>
      <c r="C19" s="2"/>
    </row>
    <row r="20" spans="2:9" x14ac:dyDescent="0.15">
      <c r="B20" s="2"/>
      <c r="C20" s="2"/>
    </row>
    <row r="21" spans="2:9" x14ac:dyDescent="0.15">
      <c r="B21" s="2"/>
      <c r="C21" s="2"/>
    </row>
    <row r="22" spans="2:9" x14ac:dyDescent="0.15">
      <c r="B22" s="2"/>
      <c r="C22" s="2"/>
      <c r="D22" s="2"/>
    </row>
    <row r="23" spans="2:9" x14ac:dyDescent="0.15">
      <c r="B23" s="1"/>
      <c r="C23" s="1"/>
      <c r="D23" s="1"/>
      <c r="E23" s="1"/>
      <c r="I23" s="1"/>
    </row>
    <row r="25" spans="2:9" x14ac:dyDescent="0.15">
      <c r="D25" s="2"/>
    </row>
    <row r="26" spans="2:9" x14ac:dyDescent="0.15">
      <c r="D26" s="2"/>
    </row>
    <row r="27" spans="2:9" x14ac:dyDescent="0.15">
      <c r="D27" s="2"/>
    </row>
    <row r="28" spans="2:9" x14ac:dyDescent="0.15">
      <c r="D28" s="1"/>
    </row>
  </sheetData>
  <phoneticPr fontId="1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syncVertical="1" syncRef="A1" transitionEvaluation="1" codeName="Sheet1"/>
  <dimension ref="A2:Q28"/>
  <sheetViews>
    <sheetView zoomScale="120" workbookViewId="0">
      <selection activeCell="H17" sqref="H17"/>
    </sheetView>
  </sheetViews>
  <sheetFormatPr baseColWidth="10" defaultColWidth="9.6640625" defaultRowHeight="13" x14ac:dyDescent="0.15"/>
  <cols>
    <col min="1" max="1" width="14.5" customWidth="1"/>
    <col min="2" max="7" width="10.6640625" customWidth="1"/>
    <col min="8" max="8" width="13.5" customWidth="1"/>
    <col min="9" max="9" width="11.6640625" bestFit="1" customWidth="1"/>
  </cols>
  <sheetData>
    <row r="2" spans="1:17" x14ac:dyDescent="0.15">
      <c r="A2" s="3"/>
      <c r="B2" s="13"/>
      <c r="C2" s="13"/>
      <c r="D2" s="4"/>
      <c r="E2" s="4"/>
      <c r="G2" s="4"/>
      <c r="H2" s="3"/>
      <c r="I2" s="3"/>
    </row>
    <row r="3" spans="1:17" x14ac:dyDescent="0.15">
      <c r="K3" s="2"/>
      <c r="L3" s="2"/>
    </row>
    <row r="4" spans="1:17" ht="14" thickBot="1" x14ac:dyDescent="0.2">
      <c r="A4" s="5"/>
      <c r="B4" s="16" t="s">
        <v>3</v>
      </c>
      <c r="C4" s="16" t="s">
        <v>4</v>
      </c>
      <c r="D4" s="16" t="s">
        <v>5</v>
      </c>
      <c r="E4" s="16" t="s">
        <v>7</v>
      </c>
      <c r="F4" s="16" t="s">
        <v>6</v>
      </c>
      <c r="G4" s="16" t="s">
        <v>8</v>
      </c>
      <c r="H4" s="10" t="s">
        <v>0</v>
      </c>
      <c r="K4" s="2"/>
      <c r="L4" s="2"/>
    </row>
    <row r="5" spans="1:17" ht="15" thickTop="1" thickBot="1" x14ac:dyDescent="0.2">
      <c r="A5" s="5" t="s">
        <v>9</v>
      </c>
      <c r="B5" s="20">
        <v>0.02</v>
      </c>
      <c r="C5" s="20">
        <v>0.24</v>
      </c>
      <c r="D5" s="20">
        <v>0.13</v>
      </c>
      <c r="E5" s="20">
        <v>0.9</v>
      </c>
      <c r="F5" s="20">
        <v>0.2</v>
      </c>
      <c r="G5" s="20">
        <v>0.19</v>
      </c>
      <c r="H5" s="21">
        <f>SUMPRODUCT(B5:G5,B6:G6)</f>
        <v>2.5110828025477705</v>
      </c>
      <c r="I5" s="11"/>
      <c r="K5" s="2"/>
      <c r="L5" s="2"/>
    </row>
    <row r="6" spans="1:17" ht="14" thickTop="1" x14ac:dyDescent="0.15">
      <c r="A6" s="5" t="s">
        <v>10</v>
      </c>
      <c r="B6" s="15">
        <v>4</v>
      </c>
      <c r="C6" s="15">
        <v>0</v>
      </c>
      <c r="D6" s="15">
        <v>2</v>
      </c>
      <c r="E6" s="15">
        <v>1.7579617834394903</v>
      </c>
      <c r="F6" s="15">
        <v>1.0445859872611467</v>
      </c>
      <c r="G6" s="15">
        <v>2</v>
      </c>
      <c r="H6" s="3"/>
      <c r="I6" s="9"/>
      <c r="K6" s="1"/>
      <c r="L6" s="1"/>
      <c r="M6" s="1"/>
      <c r="N6" s="1"/>
      <c r="O6" s="1"/>
      <c r="P6" s="1"/>
      <c r="Q6" s="1"/>
    </row>
    <row r="7" spans="1:17" x14ac:dyDescent="0.15">
      <c r="A7" s="14"/>
      <c r="B7" s="3"/>
      <c r="C7" s="3"/>
      <c r="D7" s="3"/>
      <c r="E7" s="3"/>
      <c r="F7" s="3"/>
      <c r="G7" s="3"/>
      <c r="H7" s="3"/>
      <c r="I7" s="3"/>
      <c r="K7" s="2"/>
      <c r="L7" s="2"/>
    </row>
    <row r="8" spans="1:17" x14ac:dyDescent="0.15">
      <c r="A8" s="14"/>
      <c r="B8" s="3"/>
      <c r="C8" s="3"/>
      <c r="D8" s="3"/>
      <c r="E8" s="3"/>
      <c r="F8" s="3"/>
      <c r="G8" s="3"/>
      <c r="H8" s="3"/>
      <c r="I8" s="3"/>
      <c r="K8" s="2"/>
      <c r="L8" s="2"/>
    </row>
    <row r="9" spans="1:17" x14ac:dyDescent="0.15">
      <c r="A9" s="5" t="s">
        <v>11</v>
      </c>
      <c r="B9" s="16" t="s">
        <v>3</v>
      </c>
      <c r="C9" s="16" t="s">
        <v>4</v>
      </c>
      <c r="D9" s="16" t="s">
        <v>5</v>
      </c>
      <c r="E9" s="16" t="s">
        <v>7</v>
      </c>
      <c r="F9" s="16" t="s">
        <v>6</v>
      </c>
      <c r="G9" s="16" t="s">
        <v>8</v>
      </c>
      <c r="H9" s="6" t="s">
        <v>1</v>
      </c>
      <c r="I9" s="6" t="s">
        <v>2</v>
      </c>
      <c r="K9" s="2"/>
      <c r="L9" s="2"/>
    </row>
    <row r="10" spans="1:17" x14ac:dyDescent="0.15">
      <c r="A10" s="5" t="s">
        <v>12</v>
      </c>
      <c r="B10" s="7">
        <v>110</v>
      </c>
      <c r="C10" s="7">
        <v>205</v>
      </c>
      <c r="D10" s="7">
        <v>160</v>
      </c>
      <c r="E10" s="7">
        <v>160</v>
      </c>
      <c r="F10" s="7">
        <v>420</v>
      </c>
      <c r="G10" s="7">
        <v>260</v>
      </c>
      <c r="H10" s="19">
        <f>SUMPRODUCT(B10:G10,$B$6:$G$6)</f>
        <v>2000</v>
      </c>
      <c r="I10" s="17">
        <v>2000</v>
      </c>
      <c r="K10" s="2"/>
      <c r="L10" s="2"/>
    </row>
    <row r="11" spans="1:17" x14ac:dyDescent="0.15">
      <c r="A11" s="5" t="s">
        <v>13</v>
      </c>
      <c r="B11" s="7">
        <v>4</v>
      </c>
      <c r="C11" s="7">
        <v>32</v>
      </c>
      <c r="D11" s="7">
        <v>13</v>
      </c>
      <c r="E11" s="7">
        <v>8</v>
      </c>
      <c r="F11" s="7">
        <v>4</v>
      </c>
      <c r="G11" s="7">
        <v>14</v>
      </c>
      <c r="H11" s="19">
        <f t="shared" ref="H11:H12" si="0">SUMPRODUCT(B11:G11,$B$6:$G$6)</f>
        <v>88.242038216560502</v>
      </c>
      <c r="I11" s="17">
        <v>55</v>
      </c>
    </row>
    <row r="12" spans="1:17" x14ac:dyDescent="0.15">
      <c r="A12" s="5" t="s">
        <v>14</v>
      </c>
      <c r="B12" s="7">
        <v>2</v>
      </c>
      <c r="C12" s="7">
        <v>12</v>
      </c>
      <c r="D12" s="7">
        <v>54</v>
      </c>
      <c r="E12" s="7">
        <v>285</v>
      </c>
      <c r="F12" s="7">
        <v>22</v>
      </c>
      <c r="G12" s="7">
        <v>80</v>
      </c>
      <c r="H12" s="19">
        <f t="shared" si="0"/>
        <v>800</v>
      </c>
      <c r="I12" s="17">
        <v>800</v>
      </c>
    </row>
    <row r="13" spans="1:17" x14ac:dyDescent="0.15">
      <c r="A13" s="5"/>
      <c r="B13" s="7"/>
      <c r="C13" s="7"/>
      <c r="D13" s="7"/>
      <c r="E13" s="7"/>
      <c r="F13" s="7"/>
      <c r="G13" s="7"/>
      <c r="H13" s="8"/>
      <c r="I13" s="12"/>
    </row>
    <row r="14" spans="1:17" x14ac:dyDescent="0.15">
      <c r="A14" s="5" t="s">
        <v>15</v>
      </c>
      <c r="B14" s="16" t="s">
        <v>3</v>
      </c>
      <c r="C14" s="16" t="s">
        <v>4</v>
      </c>
      <c r="D14" s="16" t="s">
        <v>5</v>
      </c>
      <c r="E14" s="16" t="s">
        <v>7</v>
      </c>
      <c r="F14" s="16" t="s">
        <v>6</v>
      </c>
      <c r="G14" s="16" t="s">
        <v>8</v>
      </c>
    </row>
    <row r="15" spans="1:17" x14ac:dyDescent="0.15">
      <c r="B15" s="7">
        <v>4</v>
      </c>
      <c r="C15" s="7">
        <v>3</v>
      </c>
      <c r="D15" s="7">
        <v>2</v>
      </c>
      <c r="E15" s="7">
        <v>8</v>
      </c>
      <c r="F15" s="7">
        <v>2</v>
      </c>
      <c r="G15" s="7">
        <v>2</v>
      </c>
    </row>
    <row r="18" spans="2:13" x14ac:dyDescent="0.15">
      <c r="J18" s="1"/>
      <c r="K18" s="1"/>
      <c r="L18" s="1"/>
      <c r="M18" s="1"/>
    </row>
    <row r="19" spans="2:13" x14ac:dyDescent="0.15">
      <c r="B19" s="2"/>
      <c r="C19" s="2"/>
      <c r="D19" s="2"/>
      <c r="E19" s="2"/>
      <c r="F19" s="2"/>
    </row>
    <row r="20" spans="2:13" x14ac:dyDescent="0.15">
      <c r="B20" s="2"/>
      <c r="C20" s="2"/>
      <c r="D20" s="2"/>
      <c r="E20" s="2"/>
      <c r="F20" s="2"/>
    </row>
    <row r="21" spans="2:13" x14ac:dyDescent="0.15">
      <c r="B21" s="2"/>
      <c r="C21" s="2"/>
      <c r="D21" s="2"/>
      <c r="E21" s="2"/>
      <c r="F21" s="2"/>
      <c r="G21" s="2"/>
    </row>
    <row r="22" spans="2:13" x14ac:dyDescent="0.15">
      <c r="B22" s="2"/>
      <c r="C22" s="2"/>
      <c r="D22" s="2"/>
      <c r="E22" s="2"/>
      <c r="F22" s="2"/>
      <c r="G22" s="2"/>
      <c r="H22" s="2"/>
    </row>
    <row r="23" spans="2:13" x14ac:dyDescent="0.15">
      <c r="B23" s="1"/>
      <c r="C23" s="1"/>
      <c r="D23" s="1"/>
      <c r="E23" s="1"/>
      <c r="F23" s="1"/>
      <c r="G23" s="1"/>
      <c r="H23" s="1"/>
      <c r="I23" s="1"/>
      <c r="M23" s="1"/>
    </row>
    <row r="25" spans="2:13" x14ac:dyDescent="0.15">
      <c r="F25" s="2"/>
      <c r="G25" s="2"/>
      <c r="H25" s="2"/>
    </row>
    <row r="26" spans="2:13" x14ac:dyDescent="0.15">
      <c r="F26" s="2"/>
      <c r="G26" s="2"/>
      <c r="H26" s="2"/>
    </row>
    <row r="27" spans="2:13" x14ac:dyDescent="0.15">
      <c r="F27" s="2"/>
      <c r="G27" s="2"/>
      <c r="H27" s="2"/>
    </row>
    <row r="28" spans="2:13" x14ac:dyDescent="0.15">
      <c r="F28" s="1"/>
      <c r="G28" s="1"/>
      <c r="H28" s="1"/>
    </row>
  </sheetData>
  <phoneticPr fontId="1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syncVertical="1" syncRef="A1" transitionEvaluation="1" codeName="Sheet2"/>
  <dimension ref="A1:K24"/>
  <sheetViews>
    <sheetView tabSelected="1" zoomScale="120" workbookViewId="0">
      <selection activeCell="M9" sqref="M9"/>
    </sheetView>
  </sheetViews>
  <sheetFormatPr baseColWidth="10" defaultColWidth="9.6640625" defaultRowHeight="13" x14ac:dyDescent="0.15"/>
  <cols>
    <col min="1" max="1" width="5.1640625" customWidth="1"/>
    <col min="2" max="2" width="14.33203125" customWidth="1"/>
    <col min="3" max="5" width="11.33203125" customWidth="1"/>
    <col min="6" max="7" width="9.1640625" customWidth="1"/>
  </cols>
  <sheetData>
    <row r="1" spans="1:11" x14ac:dyDescent="0.15">
      <c r="A1" s="22"/>
      <c r="B1" s="22"/>
      <c r="C1" s="22"/>
      <c r="D1" s="22"/>
      <c r="E1" s="22"/>
      <c r="F1" s="22"/>
      <c r="G1" s="22"/>
      <c r="H1" s="22"/>
      <c r="I1" s="22"/>
    </row>
    <row r="2" spans="1:11" x14ac:dyDescent="0.15">
      <c r="A2" s="22"/>
      <c r="B2" s="22"/>
      <c r="C2" s="23"/>
      <c r="E2" s="23"/>
      <c r="F2" s="22"/>
      <c r="G2" s="22"/>
      <c r="H2" s="22"/>
      <c r="I2" s="22"/>
    </row>
    <row r="3" spans="1:11" x14ac:dyDescent="0.15">
      <c r="A3" s="22"/>
      <c r="B3" s="22"/>
      <c r="C3" s="22"/>
      <c r="D3" s="22"/>
      <c r="E3" s="22"/>
      <c r="F3" s="22"/>
      <c r="G3" s="22"/>
      <c r="H3" s="22"/>
      <c r="I3" s="22"/>
    </row>
    <row r="4" spans="1:11" x14ac:dyDescent="0.15">
      <c r="A4" s="22"/>
      <c r="B4" s="22"/>
      <c r="C4" s="24" t="s">
        <v>16</v>
      </c>
      <c r="D4" s="23"/>
      <c r="E4" s="25"/>
      <c r="F4" s="26"/>
      <c r="G4" s="22"/>
      <c r="H4" s="22"/>
      <c r="I4" s="22"/>
    </row>
    <row r="5" spans="1:11" x14ac:dyDescent="0.15">
      <c r="A5" s="22"/>
      <c r="B5" s="22"/>
      <c r="C5" s="24" t="s">
        <v>17</v>
      </c>
      <c r="D5" s="23"/>
      <c r="E5" s="25"/>
      <c r="F5" s="26"/>
      <c r="G5" s="22"/>
      <c r="H5" s="22"/>
      <c r="I5" s="22"/>
    </row>
    <row r="6" spans="1:11" ht="14" thickBot="1" x14ac:dyDescent="0.2">
      <c r="A6" s="22"/>
      <c r="B6" s="27" t="s">
        <v>18</v>
      </c>
      <c r="C6" s="28">
        <v>1</v>
      </c>
      <c r="D6" s="28">
        <v>2</v>
      </c>
      <c r="E6" s="28">
        <v>3</v>
      </c>
      <c r="F6" s="22"/>
      <c r="H6" s="22"/>
      <c r="I6" s="22"/>
    </row>
    <row r="7" spans="1:11" x14ac:dyDescent="0.15">
      <c r="A7" s="22"/>
      <c r="B7" s="29">
        <v>1</v>
      </c>
      <c r="C7" s="30">
        <v>8</v>
      </c>
      <c r="D7" s="31">
        <v>10</v>
      </c>
      <c r="E7" s="32">
        <v>12</v>
      </c>
      <c r="F7" s="22"/>
      <c r="G7" s="22"/>
      <c r="H7" s="22"/>
      <c r="I7" s="22"/>
    </row>
    <row r="8" spans="1:11" ht="14" thickBot="1" x14ac:dyDescent="0.2">
      <c r="A8" s="22"/>
      <c r="B8" s="33">
        <v>2</v>
      </c>
      <c r="C8" s="34">
        <v>7</v>
      </c>
      <c r="D8" s="35">
        <v>9</v>
      </c>
      <c r="E8" s="36">
        <v>11</v>
      </c>
      <c r="F8" s="22"/>
      <c r="G8" s="22"/>
      <c r="H8" s="22"/>
      <c r="I8" s="22"/>
    </row>
    <row r="9" spans="1:11" ht="14" thickBot="1" x14ac:dyDescent="0.2">
      <c r="A9" s="22"/>
      <c r="B9" s="33" t="s">
        <v>19</v>
      </c>
      <c r="C9" s="34">
        <v>12</v>
      </c>
      <c r="D9" s="35">
        <v>14</v>
      </c>
      <c r="E9" s="36">
        <v>15</v>
      </c>
      <c r="F9" s="22"/>
      <c r="G9" s="22"/>
      <c r="H9" s="22"/>
      <c r="I9" s="22"/>
    </row>
    <row r="10" spans="1:11" x14ac:dyDescent="0.15">
      <c r="A10" s="22"/>
      <c r="B10" s="37"/>
      <c r="C10" s="38"/>
      <c r="D10" s="38"/>
      <c r="E10" s="38"/>
      <c r="F10" s="22"/>
      <c r="G10" s="22"/>
      <c r="H10" s="22"/>
      <c r="I10" s="22"/>
    </row>
    <row r="11" spans="1:11" x14ac:dyDescent="0.15">
      <c r="A11" s="22"/>
      <c r="B11" s="22"/>
      <c r="C11" s="24" t="s">
        <v>20</v>
      </c>
      <c r="D11" s="23"/>
      <c r="E11" s="23"/>
      <c r="F11" s="22"/>
      <c r="G11" s="22"/>
      <c r="H11" s="22"/>
      <c r="I11" s="39"/>
      <c r="J11" s="1"/>
      <c r="K11" s="1"/>
    </row>
    <row r="12" spans="1:11" x14ac:dyDescent="0.15">
      <c r="A12" s="22"/>
      <c r="B12" s="22"/>
      <c r="C12" s="24" t="s">
        <v>17</v>
      </c>
      <c r="D12" s="23"/>
      <c r="E12" s="23"/>
      <c r="F12" s="28" t="s">
        <v>21</v>
      </c>
      <c r="G12" s="40" t="s">
        <v>21</v>
      </c>
      <c r="H12" s="22"/>
      <c r="I12" s="41"/>
      <c r="J12" s="2"/>
      <c r="K12" s="2"/>
    </row>
    <row r="13" spans="1:11" ht="14" thickBot="1" x14ac:dyDescent="0.2">
      <c r="A13" s="22"/>
      <c r="B13" s="27" t="s">
        <v>18</v>
      </c>
      <c r="C13" s="28">
        <v>1</v>
      </c>
      <c r="D13" s="28">
        <v>2</v>
      </c>
      <c r="E13" s="28">
        <v>3</v>
      </c>
      <c r="F13" s="28" t="s">
        <v>22</v>
      </c>
      <c r="G13" s="40" t="s">
        <v>23</v>
      </c>
      <c r="H13" s="22"/>
      <c r="I13" s="41"/>
      <c r="J13" s="2"/>
      <c r="K13" s="2"/>
    </row>
    <row r="14" spans="1:11" ht="14" thickBot="1" x14ac:dyDescent="0.2">
      <c r="A14" s="22"/>
      <c r="B14" s="29">
        <v>1</v>
      </c>
      <c r="C14" s="42">
        <v>0</v>
      </c>
      <c r="D14" s="43">
        <v>100</v>
      </c>
      <c r="E14" s="44">
        <v>0</v>
      </c>
      <c r="F14" s="45">
        <f>SUM(C14:E14)</f>
        <v>100</v>
      </c>
      <c r="G14" s="46">
        <v>100</v>
      </c>
      <c r="H14" s="22"/>
      <c r="I14" s="41"/>
      <c r="J14" s="2"/>
      <c r="K14" s="2"/>
    </row>
    <row r="15" spans="1:11" ht="14" thickBot="1" x14ac:dyDescent="0.2">
      <c r="A15" s="22"/>
      <c r="B15" s="33">
        <v>2</v>
      </c>
      <c r="C15" s="47">
        <v>150</v>
      </c>
      <c r="D15" s="48">
        <v>50</v>
      </c>
      <c r="E15" s="49">
        <v>0</v>
      </c>
      <c r="F15" s="45">
        <f>SUM(C15:E15)</f>
        <v>200</v>
      </c>
      <c r="G15" s="50">
        <v>200</v>
      </c>
      <c r="H15" s="22"/>
      <c r="I15" s="41"/>
      <c r="J15" s="2"/>
      <c r="K15" s="2"/>
    </row>
    <row r="16" spans="1:11" ht="14" thickBot="1" x14ac:dyDescent="0.2">
      <c r="A16" s="22"/>
      <c r="B16" s="51" t="s">
        <v>24</v>
      </c>
      <c r="C16" s="52">
        <f>SUM(C14:C15)</f>
        <v>150</v>
      </c>
      <c r="D16" s="52">
        <f>SUM(D14:D15)</f>
        <v>150</v>
      </c>
      <c r="E16" s="52">
        <f>SUM(E14:E15)</f>
        <v>0</v>
      </c>
      <c r="F16" s="22"/>
      <c r="G16" s="22"/>
      <c r="H16" s="22"/>
      <c r="I16" s="41"/>
      <c r="J16" s="2"/>
      <c r="K16" s="2"/>
    </row>
    <row r="17" spans="1:11" ht="14" thickBot="1" x14ac:dyDescent="0.2">
      <c r="A17" s="22"/>
      <c r="B17" s="51" t="s">
        <v>25</v>
      </c>
      <c r="C17" s="53">
        <v>150</v>
      </c>
      <c r="D17" s="54">
        <v>200</v>
      </c>
      <c r="E17" s="55">
        <v>350</v>
      </c>
      <c r="F17" s="22"/>
      <c r="G17" s="22"/>
      <c r="H17" s="22"/>
      <c r="I17" s="39"/>
      <c r="J17" s="1"/>
      <c r="K17" s="1"/>
    </row>
    <row r="18" spans="1:11" ht="14" thickBot="1" x14ac:dyDescent="0.2">
      <c r="A18" s="22"/>
      <c r="B18" s="26"/>
      <c r="C18" s="56"/>
      <c r="D18" s="56"/>
      <c r="E18" s="56"/>
      <c r="F18" s="22"/>
      <c r="G18" s="22"/>
      <c r="H18" s="22"/>
      <c r="I18" s="39"/>
      <c r="J18" s="1"/>
      <c r="K18" s="1"/>
    </row>
    <row r="19" spans="1:11" ht="15" thickTop="1" thickBot="1" x14ac:dyDescent="0.2">
      <c r="A19" s="22"/>
      <c r="B19" s="18" t="s">
        <v>26</v>
      </c>
      <c r="D19" s="22"/>
      <c r="E19" s="57">
        <f>SUMPRODUCT(C9:E9,C16:E16)-SUMPRODUCT(C7:E8,C14:E15)</f>
        <v>1400</v>
      </c>
      <c r="G19" s="22"/>
      <c r="H19" s="22"/>
      <c r="I19" s="41"/>
      <c r="J19" s="2"/>
      <c r="K19" s="2"/>
    </row>
    <row r="20" spans="1:11" ht="14" thickTop="1" x14ac:dyDescent="0.15">
      <c r="A20" s="22"/>
      <c r="B20" s="22"/>
      <c r="C20" s="22"/>
      <c r="D20" s="22"/>
      <c r="E20" s="22"/>
      <c r="F20" s="22"/>
      <c r="G20" s="22"/>
      <c r="H20" s="22"/>
      <c r="I20" s="41"/>
      <c r="J20" s="2"/>
      <c r="K20" s="2"/>
    </row>
    <row r="21" spans="1:11" x14ac:dyDescent="0.15">
      <c r="A21" s="22"/>
      <c r="B21" s="22"/>
      <c r="C21" s="22"/>
      <c r="D21" s="22"/>
      <c r="E21" s="22"/>
      <c r="F21" s="22"/>
      <c r="G21" s="22"/>
      <c r="H21" s="22"/>
      <c r="I21" s="41"/>
      <c r="J21" s="2"/>
      <c r="K21" s="2"/>
    </row>
    <row r="22" spans="1:11" x14ac:dyDescent="0.15">
      <c r="A22" s="22"/>
      <c r="B22" s="22"/>
      <c r="C22" s="22"/>
      <c r="D22" s="22"/>
      <c r="E22" s="22"/>
      <c r="F22" s="22"/>
      <c r="G22" s="22"/>
      <c r="H22" s="22"/>
      <c r="I22" s="41"/>
      <c r="J22" s="2"/>
      <c r="K22" s="2"/>
    </row>
    <row r="23" spans="1:11" x14ac:dyDescent="0.15">
      <c r="A23" s="22"/>
      <c r="B23" s="22"/>
      <c r="C23" s="22"/>
      <c r="D23" s="22"/>
      <c r="E23" s="22"/>
      <c r="F23" s="22"/>
      <c r="G23" s="22"/>
      <c r="H23" s="22"/>
      <c r="I23" s="39"/>
      <c r="J23" s="1"/>
      <c r="K23" s="1"/>
    </row>
    <row r="24" spans="1:11" x14ac:dyDescent="0.15">
      <c r="A24" s="22"/>
      <c r="B24" s="22"/>
      <c r="C24" s="22"/>
      <c r="D24" s="22"/>
      <c r="E24" s="22"/>
      <c r="F24" s="22"/>
      <c r="G24" s="22"/>
      <c r="H24" s="22"/>
      <c r="I24" s="22"/>
    </row>
  </sheetData>
  <phoneticPr fontId="0" type="noConversion"/>
  <printOptions headings="1"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Blue Ridge Hot Tubs</vt:lpstr>
      <vt:lpstr>Ex1 Blending Problem</vt:lpstr>
      <vt:lpstr>Ex2 Transportation Problem</vt:lpstr>
      <vt:lpstr>'Blue Ridge Hot Tubs'!DATA</vt:lpstr>
      <vt:lpstr>DATA</vt:lpstr>
      <vt:lpstr>'Blue Ridge Hot Tubs'!Print_Area_MI</vt:lpstr>
      <vt:lpstr>'Ex1 Blending Problem'!Print_Area_MI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Department of Management Scien</dc:creator>
  <cp:lastModifiedBy>Microsoft Office User</cp:lastModifiedBy>
  <dcterms:created xsi:type="dcterms:W3CDTF">1996-10-14T14:57:01Z</dcterms:created>
  <dcterms:modified xsi:type="dcterms:W3CDTF">2021-11-02T19:31:21Z</dcterms:modified>
</cp:coreProperties>
</file>